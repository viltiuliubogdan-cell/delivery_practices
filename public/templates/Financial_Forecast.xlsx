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gdan.vilt\Desktop\"/>
    </mc:Choice>
  </mc:AlternateContent>
  <xr:revisionPtr revIDLastSave="0" documentId="13_ncr:1_{D4D5351A-E33C-4B0B-8467-CE974DADF3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DAYS">Sheet1!$B$1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O8" i="1"/>
  <c r="N9" i="1"/>
  <c r="L9" i="1"/>
  <c r="K9" i="1"/>
  <c r="J9" i="1"/>
  <c r="F9" i="1"/>
  <c r="D9" i="1"/>
  <c r="O7" i="1"/>
  <c r="M9" i="1"/>
  <c r="G9" i="1"/>
  <c r="E9" i="1"/>
  <c r="D16" i="1"/>
  <c r="E16" i="1"/>
  <c r="F16" i="1"/>
  <c r="G16" i="1"/>
  <c r="H16" i="1"/>
  <c r="I16" i="1"/>
  <c r="J16" i="1"/>
  <c r="K16" i="1"/>
  <c r="L16" i="1"/>
  <c r="M16" i="1"/>
  <c r="N16" i="1"/>
  <c r="C16" i="1"/>
  <c r="D15" i="1"/>
  <c r="D17" i="1" s="1"/>
  <c r="E15" i="1"/>
  <c r="F15" i="1"/>
  <c r="G15" i="1"/>
  <c r="H15" i="1"/>
  <c r="I15" i="1"/>
  <c r="J15" i="1"/>
  <c r="J17" i="1" s="1"/>
  <c r="K15" i="1"/>
  <c r="L15" i="1"/>
  <c r="L17" i="1" s="1"/>
  <c r="M15" i="1"/>
  <c r="N15" i="1"/>
  <c r="C15" i="1"/>
  <c r="D14" i="1"/>
  <c r="E14" i="1"/>
  <c r="E17" i="1" s="1"/>
  <c r="F14" i="1"/>
  <c r="F17" i="1" s="1"/>
  <c r="G14" i="1"/>
  <c r="G17" i="1" s="1"/>
  <c r="H14" i="1"/>
  <c r="H17" i="1" s="1"/>
  <c r="I14" i="1"/>
  <c r="I17" i="1" s="1"/>
  <c r="J14" i="1"/>
  <c r="K14" i="1"/>
  <c r="K17" i="1" s="1"/>
  <c r="L14" i="1"/>
  <c r="M14" i="1"/>
  <c r="M17" i="1" s="1"/>
  <c r="N14" i="1"/>
  <c r="N17" i="1" s="1"/>
  <c r="C14" i="1"/>
  <c r="C17" i="1" s="1"/>
  <c r="C9" i="1" l="1"/>
  <c r="O6" i="1"/>
  <c r="O9" i="1" s="1"/>
  <c r="O15" i="1"/>
  <c r="O14" i="1"/>
  <c r="O16" i="1"/>
  <c r="O17" i="1" l="1"/>
</calcChain>
</file>

<file path=xl/sharedStrings.xml><?xml version="1.0" encoding="utf-8"?>
<sst xmlns="http://schemas.openxmlformats.org/spreadsheetml/2006/main" count="45" uniqueCount="23">
  <si>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</si>
  <si>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</si>
  <si>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</si>
  <si>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</si>
  <si>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</si>
  <si>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</si>
  <si>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</si>
  <si>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</si>
  <si>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</si>
  <si>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</si>
  <si>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</si>
  <si>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</si>
  <si>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</si>
  <si>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Team member</t>
  </si>
  <si>
    <t>Rate</t>
  </si>
  <si>
    <t>x</t>
  </si>
  <si>
    <t>y</t>
  </si>
  <si>
    <t>z</t>
  </si>
  <si>
    <t>Working days per month</t>
  </si>
  <si>
    <t>actuals</t>
  </si>
  <si>
    <t>Totals</t>
  </si>
  <si>
    <t>Budget execution</t>
  </si>
  <si>
    <t>Working days per month based on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</si>
</sst>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1" xfId="0" applyBorder="1"/>
    <xf numFmtId="0" fontId="0" fillId="3" borderId="1" xfId="0" applyFill="1" applyBorder="1"/>
    <xf numFmtId="164" fontId="0" fillId="0" borderId="0" xfId="0" applyNumberFormat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J18" sqref="J18"/>
    </sheetView>
  </sheetViews>
  <sheetFormatPr defaultRowHeight="14.5" x14ac:dyDescent="0.35"/>
  <cols>
    <col min="1" max="1" width="21.6328125" bestFit="1" customWidth="1"/>
    <col min="3" max="14" width="10.54296875" bestFit="1" customWidth="1"/>
    <col min="15" max="15" width="11.54296875" bestFit="1" customWidth="1"/>
  </cols>
  <sheetData>
    <row r="1" spans="1:15" x14ac:dyDescent="0.35">
      <c r="A1" t="s">
        <v>18</v>
      </c>
      <c r="B1">
        <v>18</v>
      </c>
    </row>
    <row r="4" spans="1:15" x14ac:dyDescent="0.35">
      <c r="A4" s="1" t="s">
        <v>22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x14ac:dyDescent="0.35">
      <c r="A5" t="s">
        <v>13</v>
      </c>
      <c r="B5" t="s">
        <v>14</v>
      </c>
      <c r="C5" s="2" t="s">
        <v>0</v>
      </c>
      <c r="D5" s="2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</row>
    <row r="6" spans="1:15" x14ac:dyDescent="0.35">
      <c r="A6" t="s">
        <v>15</v>
      </c>
      <c r="B6">
        <v>100</v>
      </c>
      <c r="C6" s="2">
        <v>18</v>
      </c>
      <c r="D6" s="2">
        <v>12</v>
      </c>
      <c r="E6" s="7">
        <v>13</v>
      </c>
      <c r="F6" s="7">
        <v>15</v>
      </c>
      <c r="G6" s="7">
        <v>16</v>
      </c>
      <c r="H6" s="7">
        <v>16</v>
      </c>
      <c r="I6" s="7">
        <v>16</v>
      </c>
      <c r="J6" s="7">
        <v>16</v>
      </c>
      <c r="K6" s="7">
        <v>16</v>
      </c>
      <c r="L6" s="7">
        <v>16</v>
      </c>
      <c r="M6" s="7">
        <v>16</v>
      </c>
      <c r="N6" s="7">
        <v>16</v>
      </c>
      <c r="O6" s="8">
        <f>SUM(C6:N6)</f>
        <v>186</v>
      </c>
    </row>
    <row r="7" spans="1:15" x14ac:dyDescent="0.35">
      <c r="A7" t="s">
        <v>16</v>
      </c>
      <c r="B7">
        <v>120</v>
      </c>
      <c r="C7" s="2">
        <v>10</v>
      </c>
      <c r="D7" s="2">
        <v>12</v>
      </c>
      <c r="E7">
        <v>15</v>
      </c>
      <c r="F7">
        <v>15</v>
      </c>
      <c r="G7">
        <v>15</v>
      </c>
      <c r="H7">
        <v>10</v>
      </c>
      <c r="I7">
        <v>2</v>
      </c>
      <c r="J7">
        <v>0.5</v>
      </c>
      <c r="K7">
        <v>2</v>
      </c>
      <c r="L7">
        <v>2</v>
      </c>
      <c r="M7">
        <v>2</v>
      </c>
      <c r="N7">
        <v>2</v>
      </c>
      <c r="O7" s="8">
        <f t="shared" ref="O7:O8" si="0">SUM(C7:N7)</f>
        <v>87.5</v>
      </c>
    </row>
    <row r="8" spans="1:15" x14ac:dyDescent="0.35">
      <c r="A8" s="4" t="s">
        <v>17</v>
      </c>
      <c r="B8" s="4">
        <v>130</v>
      </c>
      <c r="C8" s="5">
        <v>10</v>
      </c>
      <c r="D8" s="5">
        <v>12</v>
      </c>
      <c r="E8" s="4">
        <v>15</v>
      </c>
      <c r="F8" s="4">
        <v>15</v>
      </c>
      <c r="G8" s="4">
        <v>15</v>
      </c>
      <c r="H8" s="4">
        <v>15</v>
      </c>
      <c r="I8" s="4">
        <v>15</v>
      </c>
      <c r="J8" s="4">
        <v>15</v>
      </c>
      <c r="K8" s="4">
        <v>15</v>
      </c>
      <c r="L8" s="4">
        <v>15</v>
      </c>
      <c r="M8" s="4">
        <v>15</v>
      </c>
      <c r="N8" s="4">
        <v>15</v>
      </c>
      <c r="O8" s="8">
        <f t="shared" si="0"/>
        <v>172</v>
      </c>
    </row>
    <row r="9" spans="1:15" x14ac:dyDescent="0.35">
      <c r="A9" t="s">
        <v>20</v>
      </c>
      <c r="C9" s="8">
        <f>SUM(C6:C8)</f>
        <v>38</v>
      </c>
      <c r="D9" s="8">
        <f t="shared" ref="D9" si="1">SUM(D6:D8)</f>
        <v>36</v>
      </c>
      <c r="E9" s="8">
        <f t="shared" ref="E9" si="2">SUM(E6:E8)</f>
        <v>43</v>
      </c>
      <c r="F9" s="8">
        <f t="shared" ref="F9" si="3">SUM(F6:F8)</f>
        <v>45</v>
      </c>
      <c r="G9" s="8">
        <f t="shared" ref="G9" si="4">SUM(G6:G8)</f>
        <v>46</v>
      </c>
      <c r="H9" s="8">
        <f t="shared" ref="H9" si="5">SUM(H6:H8)</f>
        <v>41</v>
      </c>
      <c r="I9" s="8">
        <f t="shared" ref="I9" si="6">SUM(I6:I8)</f>
        <v>33</v>
      </c>
      <c r="J9" s="8">
        <f t="shared" ref="J9" si="7">SUM(J6:J8)</f>
        <v>31.5</v>
      </c>
      <c r="K9" s="8">
        <f t="shared" ref="K9" si="8">SUM(K6:K8)</f>
        <v>33</v>
      </c>
      <c r="L9" s="8">
        <f t="shared" ref="L9" si="9">SUM(L6:L8)</f>
        <v>33</v>
      </c>
      <c r="M9" s="8">
        <f t="shared" ref="M9" si="10">SUM(M6:M8)</f>
        <v>33</v>
      </c>
      <c r="N9" s="8">
        <f t="shared" ref="N9" si="11">SUM(N6:N8)</f>
        <v>33</v>
      </c>
      <c r="O9" s="8">
        <f t="shared" ref="O9" si="12">SUM(O6:O8)</f>
        <v>445.5</v>
      </c>
    </row>
    <row r="10" spans="1:15" x14ac:dyDescent="0.35">
      <c r="C10" s="3" t="s">
        <v>19</v>
      </c>
      <c r="D10" s="3" t="s">
        <v>19</v>
      </c>
    </row>
    <row r="12" spans="1:15" x14ac:dyDescent="0.35">
      <c r="A12" s="1" t="s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35">
      <c r="A13" t="s">
        <v>13</v>
      </c>
      <c r="B13" t="s">
        <v>14</v>
      </c>
      <c r="C13" s="2" t="s">
        <v>0</v>
      </c>
      <c r="D13" s="2" t="s">
        <v>1</v>
      </c>
      <c r="E13" t="s">
        <v>2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</row>
    <row r="14" spans="1:15" x14ac:dyDescent="0.35">
      <c r="A14" t="s">
        <v>15</v>
      </c>
      <c r="B14">
        <v>100</v>
      </c>
      <c r="C14" s="2">
        <f>$B14*DAYS</f>
        <v>1800</v>
      </c>
      <c r="D14" s="2">
        <f>$B14*DAYS</f>
        <v>1800</v>
      </c>
      <c r="E14">
        <f>$B14*DAYS</f>
        <v>1800</v>
      </c>
      <c r="F14">
        <f>$B14*DAYS</f>
        <v>1800</v>
      </c>
      <c r="G14">
        <f>$B14*DAYS</f>
        <v>1800</v>
      </c>
      <c r="H14">
        <f>$B14*DAYS</f>
        <v>1800</v>
      </c>
      <c r="I14">
        <f>$B14*DAYS</f>
        <v>1800</v>
      </c>
      <c r="J14">
        <f>$B14*DAYS</f>
        <v>1800</v>
      </c>
      <c r="K14">
        <f>$B14*DAYS</f>
        <v>1800</v>
      </c>
      <c r="L14">
        <f>$B14*DAYS</f>
        <v>1800</v>
      </c>
      <c r="M14">
        <f>$B14*DAYS</f>
        <v>1800</v>
      </c>
      <c r="N14">
        <f>$B14*DAYS</f>
        <v>1800</v>
      </c>
      <c r="O14" s="6">
        <f>SUM(C14:N14)</f>
        <v>21600</v>
      </c>
    </row>
    <row r="15" spans="1:15" x14ac:dyDescent="0.35">
      <c r="A15" t="s">
        <v>16</v>
      </c>
      <c r="B15">
        <v>120</v>
      </c>
      <c r="C15" s="2">
        <f>$B15*DAYS</f>
        <v>2160</v>
      </c>
      <c r="D15" s="2">
        <f>$B15*DAYS</f>
        <v>2160</v>
      </c>
      <c r="E15">
        <f>$B15*DAYS</f>
        <v>2160</v>
      </c>
      <c r="F15">
        <f>$B15*DAYS</f>
        <v>2160</v>
      </c>
      <c r="G15">
        <f>$B15*DAYS</f>
        <v>2160</v>
      </c>
      <c r="H15">
        <f>$B15*DAYS</f>
        <v>2160</v>
      </c>
      <c r="I15">
        <f>$B15*DAYS</f>
        <v>2160</v>
      </c>
      <c r="J15">
        <f>$B15*DAYS</f>
        <v>2160</v>
      </c>
      <c r="K15">
        <f>$B15*DAYS</f>
        <v>2160</v>
      </c>
      <c r="L15">
        <f>$B15*DAYS</f>
        <v>2160</v>
      </c>
      <c r="M15">
        <f>$B15*DAYS</f>
        <v>2160</v>
      </c>
      <c r="N15">
        <f>$B15*DAYS</f>
        <v>2160</v>
      </c>
      <c r="O15" s="6">
        <f t="shared" ref="O15:O16" si="13">SUM(C15:N15)</f>
        <v>25920</v>
      </c>
    </row>
    <row r="16" spans="1:15" x14ac:dyDescent="0.35">
      <c r="A16" s="4" t="s">
        <v>17</v>
      </c>
      <c r="B16" s="4">
        <v>130</v>
      </c>
      <c r="C16" s="5">
        <f>$B16*DAYS</f>
        <v>2340</v>
      </c>
      <c r="D16" s="5">
        <f>$B16*DAYS</f>
        <v>2340</v>
      </c>
      <c r="E16" s="4">
        <f>$B16*DAYS</f>
        <v>2340</v>
      </c>
      <c r="F16" s="4">
        <f>$B16*DAYS</f>
        <v>2340</v>
      </c>
      <c r="G16" s="4">
        <f>$B16*DAYS</f>
        <v>2340</v>
      </c>
      <c r="H16" s="4">
        <f>$B16*DAYS</f>
        <v>2340</v>
      </c>
      <c r="I16" s="4">
        <f>$B16*DAYS</f>
        <v>2340</v>
      </c>
      <c r="J16" s="4">
        <f>$B16*DAYS</f>
        <v>2340</v>
      </c>
      <c r="K16" s="4">
        <f>$B16*DAYS</f>
        <v>2340</v>
      </c>
      <c r="L16" s="4">
        <f>$B16*DAYS</f>
        <v>2340</v>
      </c>
      <c r="M16" s="4">
        <f>$B16*DAYS</f>
        <v>2340</v>
      </c>
      <c r="N16" s="4">
        <f>$B16*DAYS</f>
        <v>2340</v>
      </c>
      <c r="O16" s="6">
        <f t="shared" si="13"/>
        <v>28080</v>
      </c>
    </row>
    <row r="17" spans="1:15" x14ac:dyDescent="0.35">
      <c r="A17" t="s">
        <v>20</v>
      </c>
      <c r="C17" s="6">
        <f>SUM(C14:C16)</f>
        <v>6300</v>
      </c>
      <c r="D17" s="6">
        <f t="shared" ref="D17:O17" si="14">SUM(D14:D16)</f>
        <v>6300</v>
      </c>
      <c r="E17" s="6">
        <f t="shared" si="14"/>
        <v>6300</v>
      </c>
      <c r="F17" s="6">
        <f t="shared" si="14"/>
        <v>6300</v>
      </c>
      <c r="G17" s="6">
        <f t="shared" si="14"/>
        <v>6300</v>
      </c>
      <c r="H17" s="6">
        <f t="shared" si="14"/>
        <v>6300</v>
      </c>
      <c r="I17" s="6">
        <f t="shared" si="14"/>
        <v>6300</v>
      </c>
      <c r="J17" s="6">
        <f t="shared" si="14"/>
        <v>6300</v>
      </c>
      <c r="K17" s="6">
        <f t="shared" si="14"/>
        <v>6300</v>
      </c>
      <c r="L17" s="6">
        <f t="shared" si="14"/>
        <v>6300</v>
      </c>
      <c r="M17" s="6">
        <f t="shared" si="14"/>
        <v>6300</v>
      </c>
      <c r="N17" s="6">
        <f t="shared" si="14"/>
        <v>6300</v>
      </c>
      <c r="O17" s="6">
        <f t="shared" si="14"/>
        <v>75600</v>
      </c>
    </row>
    <row r="18" spans="1:15" x14ac:dyDescent="0.35">
      <c r="C18" s="3" t="s">
        <v>19</v>
      </c>
      <c r="D18" s="3" t="s">
        <v>19</v>
      </c>
    </row>
  </sheetData>
  <mergeCells count="2">
    <mergeCell ref="A12:N12"/>
    <mergeCell ref="A4:N4"/>
  </mergeCells>
  <phoneticPr fontId="1" type="noConversion"/>
  <pageMargins left="0.7" right="0.7" top="0.75" bottom="0.75" header="0.3" footer="0.3"/>
  <pageSetup paperSize="9" orientation="portrait" r:id="rId1"/>
  <headerFooter>
    <oddHeader>&amp;C&amp;"Aptos"&amp;10&amp;K0000FF INTERNAL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Vilt</dc:creator>
  <cp:lastModifiedBy>Bogdan Vilt</cp:lastModifiedBy>
  <dcterms:created xsi:type="dcterms:W3CDTF">2015-06-05T18:17:20Z</dcterms:created>
  <dcterms:modified xsi:type="dcterms:W3CDTF">2026-04-05T19:45:14Z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279657-75ab-40d6-b3ab-c93925b22f83_Enabled">
    <vt:lpwstr>true</vt:lpwstr>
  </property>
  <property fmtid="{D5CDD505-2E9C-101B-9397-08002B2CF9AE}" pid="3" name="MSIP_Label_48279657-75ab-40d6-b3ab-c93925b22f83_SetDate">
    <vt:lpwstr>2026-04-05T19:45:14Z</vt:lpwstr>
  </property>
  <property fmtid="{D5CDD505-2E9C-101B-9397-08002B2CF9AE}" pid="4" name="MSIP_Label_48279657-75ab-40d6-b3ab-c93925b22f83_Method">
    <vt:lpwstr>Standard</vt:lpwstr>
  </property>
  <property fmtid="{D5CDD505-2E9C-101B-9397-08002B2CF9AE}" pid="5" name="MSIP_Label_48279657-75ab-40d6-b3ab-c93925b22f83_Name">
    <vt:lpwstr>Internal Use</vt:lpwstr>
  </property>
  <property fmtid="{D5CDD505-2E9C-101B-9397-08002B2CF9AE}" pid="6" name="MSIP_Label_48279657-75ab-40d6-b3ab-c93925b22f83_SiteId">
    <vt:lpwstr>b8a2150a-b09f-492a-bdcd-079b1fb144f5</vt:lpwstr>
  </property>
  <property fmtid="{D5CDD505-2E9C-101B-9397-08002B2CF9AE}" pid="7" name="MSIP_Label_48279657-75ab-40d6-b3ab-c93925b22f83_ActionId">
    <vt:lpwstr>82412131-d04e-43f2-86de-993b384632ad</vt:lpwstr>
  </property>
  <property fmtid="{D5CDD505-2E9C-101B-9397-08002B2CF9AE}" pid="8" name="MSIP_Label_48279657-75ab-40d6-b3ab-c93925b22f83_ContentBits">
    <vt:lpwstr>1</vt:lpwstr>
  </property>
  <property fmtid="{D5CDD505-2E9C-101B-9397-08002B2CF9AE}" pid="9" name="MSIP_Label_48279657-75ab-40d6-b3ab-c93925b22f83_Tag">
    <vt:lpwstr>10, 3, 0, 1</vt:lpwstr>
  </property>
</Properties>
</file>